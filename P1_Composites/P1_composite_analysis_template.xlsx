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thomasfish/Desktop/University_Work/II_Materials/P1_Composites/"/>
    </mc:Choice>
  </mc:AlternateContent>
  <xr:revisionPtr revIDLastSave="0" documentId="13_ncr:1_{2500E443-FF8D-2345-A8ED-BF67D32AE7FD}" xr6:coauthVersionLast="47" xr6:coauthVersionMax="47" xr10:uidLastSave="{00000000-0000-0000-0000-000000000000}"/>
  <bookViews>
    <workbookView xWindow="0" yWindow="680" windowWidth="29400" windowHeight="17540" xr2:uid="{00000000-000D-0000-FFFF-FFFF00000000}"/>
  </bookViews>
  <sheets>
    <sheet name="P1 Composite Analys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5" i="1" l="1"/>
  <c r="B44" i="1"/>
  <c r="B41" i="1"/>
  <c r="B42" i="1"/>
  <c r="B60" i="1"/>
  <c r="B59" i="1"/>
  <c r="B53" i="1"/>
  <c r="B62" i="1" s="1"/>
  <c r="B39" i="1"/>
  <c r="B54" i="1"/>
  <c r="B33" i="1"/>
  <c r="F18" i="1"/>
  <c r="G18" i="1" s="1"/>
  <c r="H18" i="1" s="1"/>
  <c r="F17" i="1"/>
  <c r="G17" i="1" s="1"/>
  <c r="H17" i="1" s="1"/>
  <c r="F16" i="1"/>
  <c r="G16" i="1" s="1"/>
  <c r="H16" i="1" s="1"/>
  <c r="B61" i="1" l="1"/>
  <c r="B20" i="1"/>
  <c r="B40" i="1" s="1"/>
  <c r="B63" i="1"/>
  <c r="B65" i="1" s="1"/>
  <c r="B74" i="1" l="1"/>
  <c r="B75" i="1"/>
  <c r="B76" i="1" s="1"/>
  <c r="B77" i="1" s="1"/>
  <c r="B64" i="1"/>
  <c r="B66" i="1" s="1"/>
  <c r="B67" i="1" s="1"/>
  <c r="B68" i="1" s="1"/>
  <c r="B43" i="1"/>
  <c r="B78" i="1" l="1"/>
</calcChain>
</file>

<file path=xl/sharedStrings.xml><?xml version="1.0" encoding="utf-8"?>
<sst xmlns="http://schemas.openxmlformats.org/spreadsheetml/2006/main" count="153" uniqueCount="110">
  <si>
    <t>P1 Thermal Distortion in Composites – Analysis Spreadsheet</t>
  </si>
  <si>
    <t>Parameter</t>
  </si>
  <si>
    <t>Value</t>
  </si>
  <si>
    <t>Units / notes</t>
  </si>
  <si>
    <t>Fibre density, rho_f</t>
  </si>
  <si>
    <t>Mg m^-3</t>
  </si>
  <si>
    <t>Matrix density, rho_m</t>
  </si>
  <si>
    <t>Matrix modulus, Em</t>
  </si>
  <si>
    <t>GPa (Nylon 6)</t>
  </si>
  <si>
    <t>Fibre axial expansivity, alpha_f_ax</t>
  </si>
  <si>
    <t>10^-6 K^-1</t>
  </si>
  <si>
    <t>Fibre transverse expansivity, alpha_f_tr</t>
  </si>
  <si>
    <t>Fibre Poisson ratio, nu_f</t>
  </si>
  <si>
    <t>-</t>
  </si>
  <si>
    <t>Matrix Poisson ratio, nu_m</t>
  </si>
  <si>
    <t>Temperature change, DeltaT</t>
  </si>
  <si>
    <t>K (room to liquid N2)</t>
  </si>
  <si>
    <t>B. Density measurements and fibre volume fraction</t>
  </si>
  <si>
    <t>Laminate</t>
  </si>
  <si>
    <t>g</t>
  </si>
  <si>
    <t>mm</t>
  </si>
  <si>
    <t>mm^3</t>
  </si>
  <si>
    <t>Mg m^-3 (via mm, g)</t>
  </si>
  <si>
    <t>Fibre volume fraction f_i</t>
  </si>
  <si>
    <t>Notes</t>
  </si>
  <si>
    <t>Simple cross-ply</t>
  </si>
  <si>
    <t>Average fibre volume fraction, f_avg</t>
  </si>
  <si>
    <t>C. 4-point bend stiffness (unidirectional laminate)</t>
  </si>
  <si>
    <t>Geometry and slopes (edit inputs)</t>
  </si>
  <si>
    <t>Support span, L</t>
  </si>
  <si>
    <t>Inner span, s</t>
  </si>
  <si>
    <t>Beam width, w</t>
  </si>
  <si>
    <t>mm (unidirectional strips)</t>
  </si>
  <si>
    <t>Beam thickness, h</t>
  </si>
  <si>
    <t>Slope m_long = delta/F (longitudinal, fibres || length)</t>
  </si>
  <si>
    <t>m/N (from linear fit)</t>
  </si>
  <si>
    <t>Slope m_trans = delta/F (transverse, fibres ⟂ length)</t>
  </si>
  <si>
    <t>Quantity</t>
  </si>
  <si>
    <t>Second moment of area, I</t>
  </si>
  <si>
    <t>mm^4</t>
  </si>
  <si>
    <t>E1 (composite modulus along fibres)</t>
  </si>
  <si>
    <t>Pa</t>
  </si>
  <si>
    <t>E2 (composite modulus transverse to fibres)</t>
  </si>
  <si>
    <t>D. Fibre moduli from unidirectional composite</t>
  </si>
  <si>
    <t>Matrix modulus, Em (Pa)</t>
  </si>
  <si>
    <t>Fibre volume fraction, f</t>
  </si>
  <si>
    <t>Fibre axial modulus, Ef_ax</t>
  </si>
  <si>
    <t>Ratio R2 = E2/Em</t>
  </si>
  <si>
    <t>Halpin-Tsai parameter, eta</t>
  </si>
  <si>
    <t>Fibre transverse modulus, Ef_tr</t>
  </si>
  <si>
    <t>E. Thermal contraction / curvature (cross-ply strip)</t>
  </si>
  <si>
    <t>Inputs for curvature</t>
  </si>
  <si>
    <t>Measurement distance, x</t>
  </si>
  <si>
    <t>Deflection at RT, delta_RT</t>
  </si>
  <si>
    <t>mm (positive if curved away from wall)</t>
  </si>
  <si>
    <t>Deflection cold, delta_cold</t>
  </si>
  <si>
    <t>mm (same sign convention)</t>
  </si>
  <si>
    <t>Laminate thickness (cross-ply), h_lam</t>
  </si>
  <si>
    <t>mm (total)</t>
  </si>
  <si>
    <t>Layer thicknesses hA, hB</t>
  </si>
  <si>
    <t>Assume EA = E1 (axial), EB = E2 (transverse)</t>
  </si>
  <si>
    <t>EB</t>
  </si>
  <si>
    <t>Curvatures and misfit strain</t>
  </si>
  <si>
    <t>kappa_RT</t>
  </si>
  <si>
    <t>m^-1</t>
  </si>
  <si>
    <t>kappa_cold</t>
  </si>
  <si>
    <t>Delta_kappa = kappa_cold - kappa_RT</t>
  </si>
  <si>
    <t>hA (m)</t>
  </si>
  <si>
    <t>hB (m)</t>
  </si>
  <si>
    <t>Numerator N in kappa expression</t>
  </si>
  <si>
    <t>Denominator D in kappa expression</t>
  </si>
  <si>
    <t>K_geom (big bracket multiplying Delta_epsilon)</t>
  </si>
  <si>
    <t>Misfit strain, Delta_epsilon</t>
  </si>
  <si>
    <t>Measured Delta_alpha (composite)</t>
  </si>
  <si>
    <t>K^-1</t>
  </si>
  <si>
    <t>F. Thermal expansivity micromechanics – solve for alpha_m</t>
  </si>
  <si>
    <t>Matrix expansivity guess, alpha_m</t>
  </si>
  <si>
    <t>10^-6 K^-1 (adjust / use Goal Seek)</t>
  </si>
  <si>
    <t>Intermediate quantities</t>
  </si>
  <si>
    <t>Composite Poisson ratio, nu_c</t>
  </si>
  <si>
    <t>alpha_ax_c (composite axial expansivity)</t>
  </si>
  <si>
    <t>alpha_tr_c (composite transverse expansivity)</t>
  </si>
  <si>
    <t>Delta_alpha_pred = alpha_ax_c - alpha_tr_c</t>
  </si>
  <si>
    <t>Error = Delta_alpha_pred - Delta_alpha_meas</t>
  </si>
  <si>
    <t>10^-6 K^-1 (set this to 0 with Goal Seek by changing alpha_m)</t>
  </si>
  <si>
    <t>A. Material constants</t>
  </si>
  <si>
    <t>Calculation</t>
  </si>
  <si>
    <t>Units / Notes</t>
  </si>
  <si>
    <t>4x4</t>
  </si>
  <si>
    <t>w</t>
  </si>
  <si>
    <t>l</t>
  </si>
  <si>
    <t>d</t>
  </si>
  <si>
    <t>3x6x3</t>
  </si>
  <si>
    <t>m</t>
  </si>
  <si>
    <t>error</t>
  </si>
  <si>
    <t>Fibre volume fraction</t>
  </si>
  <si>
    <t>14 tr</t>
  </si>
  <si>
    <t>14 ax</t>
  </si>
  <si>
    <t>Unidirectional / axial</t>
  </si>
  <si>
    <t>NOT REQUIRED, INTERMEDIATE MATHS</t>
  </si>
  <si>
    <t>FOR WHAT PURPOSE?</t>
  </si>
  <si>
    <t>10cm</t>
  </si>
  <si>
    <t>large sep</t>
  </si>
  <si>
    <t>small sep</t>
  </si>
  <si>
    <t>3cm</t>
  </si>
  <si>
    <t>Symmetric cross-ply / now unidirectional transverse</t>
  </si>
  <si>
    <t>Measured composite moduli (unidirectional)</t>
  </si>
  <si>
    <t>Gpa</t>
  </si>
  <si>
    <t>GPa</t>
  </si>
  <si>
    <t>Pa (From Python)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</si>
</sst>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6688CC"/>
      <name val="Menlo"/>
      <family val="2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0" fontId="0" fillId="3" borderId="0" xfId="0" applyFill="1"/>
    <xf numFmtId="0" fontId="4" fillId="0" borderId="0" xfId="0" applyFont="1"/>
    <xf numFmtId="0" fontId="5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8"/>
  <sheetViews>
    <sheetView tabSelected="1" topLeftCell="A54" workbookViewId="0">
      <selection activeCell="C71" sqref="C71"/>
    </sheetView>
  </sheetViews>
  <sheetFormatPr baseColWidth="10" defaultColWidth="8.83203125" defaultRowHeight="15" x14ac:dyDescent="0.2"/>
  <cols>
    <col min="1" max="1" width="69.5" bestFit="1" customWidth="1"/>
    <col min="2" max="2" width="12.83203125" bestFit="1" customWidth="1"/>
    <col min="3" max="3" width="47.83203125" bestFit="1" customWidth="1"/>
    <col min="4" max="4" width="4.1640625" bestFit="1" customWidth="1"/>
    <col min="5" max="5" width="5.1640625" bestFit="1" customWidth="1"/>
    <col min="6" max="6" width="6" bestFit="1" customWidth="1"/>
    <col min="7" max="7" width="16.33203125" bestFit="1" customWidth="1"/>
    <col min="8" max="8" width="19.6640625" bestFit="1" customWidth="1"/>
    <col min="9" max="9" width="5.5" bestFit="1" customWidth="1"/>
  </cols>
  <sheetData>
    <row r="1" spans="1:18" ht="21" x14ac:dyDescent="0.25">
      <c r="A1" s="1" t="s">
        <v>0</v>
      </c>
      <c r="K1" t="s">
        <v>94</v>
      </c>
      <c r="L1" t="s">
        <v>89</v>
      </c>
      <c r="M1" t="s">
        <v>90</v>
      </c>
      <c r="N1" t="s">
        <v>91</v>
      </c>
      <c r="O1" t="s">
        <v>93</v>
      </c>
    </row>
    <row r="2" spans="1:18" x14ac:dyDescent="0.2">
      <c r="K2" t="s">
        <v>88</v>
      </c>
      <c r="L2">
        <v>2</v>
      </c>
      <c r="M2">
        <v>2</v>
      </c>
      <c r="N2">
        <v>0.02</v>
      </c>
      <c r="O2">
        <v>0.1</v>
      </c>
    </row>
    <row r="3" spans="1:18" ht="19" x14ac:dyDescent="0.25">
      <c r="A3" s="3" t="s">
        <v>85</v>
      </c>
      <c r="K3" t="s">
        <v>92</v>
      </c>
      <c r="L3">
        <v>1</v>
      </c>
      <c r="M3">
        <v>1</v>
      </c>
      <c r="N3">
        <v>0.03</v>
      </c>
      <c r="O3">
        <v>0.1</v>
      </c>
    </row>
    <row r="4" spans="1:18" x14ac:dyDescent="0.2">
      <c r="A4" s="2" t="s">
        <v>1</v>
      </c>
      <c r="B4" s="2" t="s">
        <v>2</v>
      </c>
      <c r="C4" s="2" t="s">
        <v>3</v>
      </c>
      <c r="K4">
        <v>14</v>
      </c>
      <c r="L4">
        <v>1</v>
      </c>
      <c r="M4">
        <v>1</v>
      </c>
      <c r="N4">
        <v>0.01</v>
      </c>
      <c r="O4">
        <v>0.1</v>
      </c>
    </row>
    <row r="5" spans="1:18" x14ac:dyDescent="0.2">
      <c r="A5" t="s">
        <v>4</v>
      </c>
      <c r="B5">
        <v>1.75</v>
      </c>
      <c r="C5" t="s">
        <v>5</v>
      </c>
    </row>
    <row r="6" spans="1:18" x14ac:dyDescent="0.2">
      <c r="A6" t="s">
        <v>6</v>
      </c>
      <c r="B6">
        <v>1.1000000000000001</v>
      </c>
      <c r="C6" t="s">
        <v>5</v>
      </c>
      <c r="K6" t="s">
        <v>19</v>
      </c>
      <c r="L6" t="s">
        <v>20</v>
      </c>
      <c r="M6" t="s">
        <v>20</v>
      </c>
      <c r="N6" t="s">
        <v>20</v>
      </c>
      <c r="O6" t="s">
        <v>21</v>
      </c>
      <c r="P6" t="s">
        <v>5</v>
      </c>
      <c r="Q6" t="s">
        <v>95</v>
      </c>
      <c r="R6" t="s">
        <v>24</v>
      </c>
    </row>
    <row r="7" spans="1:18" x14ac:dyDescent="0.2">
      <c r="A7" t="s">
        <v>7</v>
      </c>
      <c r="B7">
        <v>5</v>
      </c>
      <c r="C7" t="s">
        <v>8</v>
      </c>
      <c r="K7">
        <v>66.2</v>
      </c>
      <c r="L7">
        <v>152</v>
      </c>
      <c r="M7">
        <v>156</v>
      </c>
      <c r="N7">
        <v>1.9</v>
      </c>
      <c r="O7">
        <v>45052.799999999996</v>
      </c>
      <c r="P7">
        <v>1.4693870303288588</v>
      </c>
      <c r="Q7">
        <v>0.56828773896747498</v>
      </c>
    </row>
    <row r="8" spans="1:18" x14ac:dyDescent="0.2">
      <c r="A8" t="s">
        <v>9</v>
      </c>
      <c r="B8">
        <v>-1</v>
      </c>
      <c r="C8" t="s">
        <v>10</v>
      </c>
      <c r="K8">
        <v>36.799999999999997</v>
      </c>
      <c r="L8">
        <v>154</v>
      </c>
      <c r="M8">
        <v>155</v>
      </c>
      <c r="N8">
        <v>1.1499999999999999</v>
      </c>
      <c r="O8">
        <v>27450.499999999996</v>
      </c>
      <c r="P8">
        <v>1.3405948889819859</v>
      </c>
      <c r="Q8">
        <v>0.37014598304920893</v>
      </c>
    </row>
    <row r="9" spans="1:18" x14ac:dyDescent="0.2">
      <c r="A9" t="s">
        <v>11</v>
      </c>
      <c r="B9">
        <v>10</v>
      </c>
      <c r="C9" t="s">
        <v>10</v>
      </c>
      <c r="K9">
        <v>57.8</v>
      </c>
      <c r="L9">
        <v>164</v>
      </c>
      <c r="M9">
        <v>159</v>
      </c>
      <c r="N9">
        <v>1.35</v>
      </c>
      <c r="O9">
        <v>35202.600000000006</v>
      </c>
      <c r="P9">
        <v>1.6419241760551775</v>
      </c>
      <c r="Q9">
        <v>0.83372950162334991</v>
      </c>
    </row>
    <row r="10" spans="1:18" x14ac:dyDescent="0.2">
      <c r="A10" t="s">
        <v>12</v>
      </c>
      <c r="B10">
        <v>0.2</v>
      </c>
      <c r="C10" t="s">
        <v>13</v>
      </c>
    </row>
    <row r="11" spans="1:18" x14ac:dyDescent="0.2">
      <c r="A11" t="s">
        <v>14</v>
      </c>
      <c r="B11">
        <v>0.4</v>
      </c>
      <c r="C11" t="s">
        <v>13</v>
      </c>
      <c r="K11" t="s">
        <v>94</v>
      </c>
      <c r="L11" t="s">
        <v>89</v>
      </c>
      <c r="M11" t="s">
        <v>90</v>
      </c>
      <c r="N11" t="s">
        <v>91</v>
      </c>
      <c r="O11" t="s">
        <v>93</v>
      </c>
    </row>
    <row r="12" spans="1:18" x14ac:dyDescent="0.2">
      <c r="A12" t="s">
        <v>15</v>
      </c>
      <c r="B12">
        <v>220</v>
      </c>
      <c r="C12" t="s">
        <v>16</v>
      </c>
      <c r="K12" t="s">
        <v>97</v>
      </c>
      <c r="L12">
        <v>1</v>
      </c>
      <c r="M12">
        <v>1</v>
      </c>
      <c r="N12">
        <v>0.1</v>
      </c>
      <c r="O12">
        <v>0.1</v>
      </c>
    </row>
    <row r="13" spans="1:18" x14ac:dyDescent="0.2">
      <c r="K13" t="s">
        <v>96</v>
      </c>
      <c r="L13">
        <v>1</v>
      </c>
      <c r="M13">
        <v>1</v>
      </c>
      <c r="N13">
        <v>1</v>
      </c>
      <c r="O13">
        <v>0.1</v>
      </c>
    </row>
    <row r="14" spans="1:18" ht="19" x14ac:dyDescent="0.25">
      <c r="A14" s="3" t="s">
        <v>17</v>
      </c>
      <c r="K14" t="s">
        <v>88</v>
      </c>
      <c r="L14">
        <v>1</v>
      </c>
      <c r="M14">
        <v>1</v>
      </c>
      <c r="N14">
        <v>0.1</v>
      </c>
      <c r="O14">
        <v>0.1</v>
      </c>
    </row>
    <row r="15" spans="1:18" x14ac:dyDescent="0.2">
      <c r="A15" s="2" t="s">
        <v>18</v>
      </c>
      <c r="B15" s="2" t="s">
        <v>19</v>
      </c>
      <c r="C15" s="2" t="s">
        <v>20</v>
      </c>
      <c r="D15" s="2" t="s">
        <v>20</v>
      </c>
      <c r="E15" s="2" t="s">
        <v>20</v>
      </c>
      <c r="F15" s="2" t="s">
        <v>21</v>
      </c>
      <c r="G15" s="2" t="s">
        <v>22</v>
      </c>
      <c r="H15" s="2" t="s">
        <v>23</v>
      </c>
      <c r="I15" s="2" t="s">
        <v>24</v>
      </c>
    </row>
    <row r="16" spans="1:18" x14ac:dyDescent="0.2">
      <c r="A16" t="s">
        <v>98</v>
      </c>
      <c r="B16">
        <v>10.7</v>
      </c>
      <c r="C16">
        <v>150</v>
      </c>
      <c r="D16">
        <v>25</v>
      </c>
      <c r="E16">
        <v>1.97</v>
      </c>
      <c r="F16">
        <f>C16*D16*E16</f>
        <v>7387.5</v>
      </c>
      <c r="G16">
        <f>B16*1000/F16</f>
        <v>1.4483925549915397</v>
      </c>
      <c r="H16">
        <f>(G16-$B$6)/($B$5-$B$6)</f>
        <v>0.53598854614083036</v>
      </c>
    </row>
    <row r="17" spans="1:12" x14ac:dyDescent="0.2">
      <c r="A17" t="s">
        <v>25</v>
      </c>
      <c r="B17">
        <v>4.2</v>
      </c>
      <c r="C17">
        <v>154</v>
      </c>
      <c r="D17">
        <v>20</v>
      </c>
      <c r="E17">
        <v>1</v>
      </c>
      <c r="F17">
        <f>C17*D17*E17</f>
        <v>3080</v>
      </c>
      <c r="G17">
        <f>B17*1000/F17</f>
        <v>1.3636363636363635</v>
      </c>
      <c r="H17">
        <f>(G17-$B$6)/($B$5-$B$6)</f>
        <v>0.40559440559440535</v>
      </c>
    </row>
    <row r="18" spans="1:12" x14ac:dyDescent="0.2">
      <c r="A18" t="s">
        <v>105</v>
      </c>
      <c r="B18">
        <v>10.4</v>
      </c>
      <c r="C18">
        <v>126</v>
      </c>
      <c r="D18">
        <v>27</v>
      </c>
      <c r="E18">
        <v>1.93</v>
      </c>
      <c r="F18">
        <f>C18*D18*E18</f>
        <v>6565.86</v>
      </c>
      <c r="G18">
        <f>B18*1000/F18</f>
        <v>1.5839509218898973</v>
      </c>
      <c r="H18">
        <f>(G18-$B$6)/($B$5-$B$6)</f>
        <v>0.74453987983061121</v>
      </c>
    </row>
    <row r="20" spans="1:12" x14ac:dyDescent="0.2">
      <c r="A20" t="s">
        <v>26</v>
      </c>
      <c r="B20">
        <f>AVERAGE(H16:H18)</f>
        <v>0.56204094385528236</v>
      </c>
    </row>
    <row r="21" spans="1:12" x14ac:dyDescent="0.2">
      <c r="K21" t="s">
        <v>102</v>
      </c>
      <c r="L21" t="s">
        <v>103</v>
      </c>
    </row>
    <row r="22" spans="1:12" ht="19" x14ac:dyDescent="0.25">
      <c r="A22" s="3" t="s">
        <v>27</v>
      </c>
      <c r="K22" t="s">
        <v>101</v>
      </c>
      <c r="L22" t="s">
        <v>104</v>
      </c>
    </row>
    <row r="23" spans="1:12" x14ac:dyDescent="0.2">
      <c r="A23" s="2" t="s">
        <v>28</v>
      </c>
      <c r="B23" s="2" t="s">
        <v>2</v>
      </c>
      <c r="C23" s="2" t="s">
        <v>3</v>
      </c>
    </row>
    <row r="24" spans="1:12" x14ac:dyDescent="0.2">
      <c r="A24" t="s">
        <v>29</v>
      </c>
      <c r="B24">
        <v>100</v>
      </c>
      <c r="C24" t="s">
        <v>20</v>
      </c>
    </row>
    <row r="25" spans="1:12" x14ac:dyDescent="0.2">
      <c r="A25" t="s">
        <v>30</v>
      </c>
      <c r="B25">
        <v>30</v>
      </c>
      <c r="C25" t="s">
        <v>20</v>
      </c>
    </row>
    <row r="26" spans="1:12" x14ac:dyDescent="0.2">
      <c r="A26" t="s">
        <v>31</v>
      </c>
      <c r="B26">
        <v>26</v>
      </c>
      <c r="C26" t="s">
        <v>32</v>
      </c>
    </row>
    <row r="27" spans="1:12" x14ac:dyDescent="0.2">
      <c r="A27" t="s">
        <v>33</v>
      </c>
      <c r="B27">
        <v>1.95</v>
      </c>
      <c r="C27" t="s">
        <v>32</v>
      </c>
    </row>
    <row r="28" spans="1:12" x14ac:dyDescent="0.2">
      <c r="A28" t="s">
        <v>34</v>
      </c>
      <c r="B28">
        <v>9.9999999999999995E-7</v>
      </c>
      <c r="C28" t="s">
        <v>35</v>
      </c>
    </row>
    <row r="29" spans="1:12" x14ac:dyDescent="0.2">
      <c r="A29" t="s">
        <v>36</v>
      </c>
      <c r="B29">
        <v>1.0000000000000001E-5</v>
      </c>
      <c r="C29" t="s">
        <v>35</v>
      </c>
    </row>
    <row r="31" spans="1:12" x14ac:dyDescent="0.2">
      <c r="A31" t="s">
        <v>106</v>
      </c>
    </row>
    <row r="32" spans="1:12" x14ac:dyDescent="0.2">
      <c r="A32" s="2" t="s">
        <v>37</v>
      </c>
      <c r="B32" s="2" t="s">
        <v>2</v>
      </c>
      <c r="C32" s="2" t="s">
        <v>3</v>
      </c>
    </row>
    <row r="33" spans="1:3" x14ac:dyDescent="0.2">
      <c r="A33" t="s">
        <v>38</v>
      </c>
      <c r="B33">
        <f>(B26*(B27^3))/12</f>
        <v>16.065562499999999</v>
      </c>
      <c r="C33" t="s">
        <v>39</v>
      </c>
    </row>
    <row r="34" spans="1:3" ht="16" x14ac:dyDescent="0.2">
      <c r="A34" t="s">
        <v>40</v>
      </c>
      <c r="B34" s="5">
        <v>95639347882.995804</v>
      </c>
      <c r="C34" t="s">
        <v>109</v>
      </c>
    </row>
    <row r="35" spans="1:3" ht="16" x14ac:dyDescent="0.2">
      <c r="A35" t="s">
        <v>42</v>
      </c>
      <c r="B35" s="5">
        <v>7160580659.6718397</v>
      </c>
      <c r="C35" t="s">
        <v>109</v>
      </c>
    </row>
    <row r="36" spans="1:3" ht="16" x14ac:dyDescent="0.2">
      <c r="B36" s="5"/>
    </row>
    <row r="37" spans="1:3" ht="19" x14ac:dyDescent="0.25">
      <c r="A37" s="3" t="s">
        <v>43</v>
      </c>
    </row>
    <row r="38" spans="1:3" x14ac:dyDescent="0.2">
      <c r="A38" s="2" t="s">
        <v>37</v>
      </c>
      <c r="B38" s="2" t="s">
        <v>2</v>
      </c>
      <c r="C38" s="2" t="s">
        <v>3</v>
      </c>
    </row>
    <row r="39" spans="1:3" x14ac:dyDescent="0.2">
      <c r="A39" t="s">
        <v>44</v>
      </c>
      <c r="B39">
        <f>$B$7*1000000000</f>
        <v>5000000000</v>
      </c>
    </row>
    <row r="40" spans="1:3" x14ac:dyDescent="0.2">
      <c r="A40" t="s">
        <v>45</v>
      </c>
      <c r="B40" s="4">
        <f>$B$20</f>
        <v>0.56204094385528236</v>
      </c>
    </row>
    <row r="41" spans="1:3" x14ac:dyDescent="0.2">
      <c r="A41" s="6" t="s">
        <v>46</v>
      </c>
      <c r="B41" s="6">
        <f>((B34-(1-B40)*B39)/B40)/1000000000</f>
        <v>166.26822943051309</v>
      </c>
      <c r="C41" s="6" t="s">
        <v>107</v>
      </c>
    </row>
    <row r="42" spans="1:3" x14ac:dyDescent="0.2">
      <c r="A42" t="s">
        <v>47</v>
      </c>
      <c r="B42" s="4">
        <f>B36/B39</f>
        <v>0</v>
      </c>
      <c r="C42" t="s">
        <v>100</v>
      </c>
    </row>
    <row r="43" spans="1:3" x14ac:dyDescent="0.2">
      <c r="A43" t="s">
        <v>48</v>
      </c>
      <c r="B43">
        <f>(B42-1)/(B42+1)</f>
        <v>-1</v>
      </c>
      <c r="C43" t="s">
        <v>99</v>
      </c>
    </row>
    <row r="44" spans="1:3" x14ac:dyDescent="0.2">
      <c r="A44" s="6" t="s">
        <v>49</v>
      </c>
      <c r="B44" s="6">
        <f>(B39*(B39*(1-B40)-B35*(1+B40))/(B35*(1-B40)-B39*(1+B40)))/1000000000</f>
        <v>9.622389923535831</v>
      </c>
      <c r="C44" s="6" t="s">
        <v>108</v>
      </c>
    </row>
    <row r="46" spans="1:3" ht="19" x14ac:dyDescent="0.25">
      <c r="A46" s="3" t="s">
        <v>50</v>
      </c>
    </row>
    <row r="47" spans="1:3" x14ac:dyDescent="0.2">
      <c r="A47" s="2" t="s">
        <v>51</v>
      </c>
      <c r="B47" s="2" t="s">
        <v>2</v>
      </c>
      <c r="C47" s="2" t="s">
        <v>3</v>
      </c>
    </row>
    <row r="48" spans="1:3" x14ac:dyDescent="0.2">
      <c r="A48" t="s">
        <v>52</v>
      </c>
      <c r="B48">
        <v>79</v>
      </c>
      <c r="C48" t="s">
        <v>20</v>
      </c>
    </row>
    <row r="49" spans="1:3" x14ac:dyDescent="0.2">
      <c r="A49" t="s">
        <v>53</v>
      </c>
      <c r="B49">
        <v>129</v>
      </c>
      <c r="C49" t="s">
        <v>54</v>
      </c>
    </row>
    <row r="50" spans="1:3" x14ac:dyDescent="0.2">
      <c r="A50" t="s">
        <v>55</v>
      </c>
      <c r="B50">
        <v>140</v>
      </c>
      <c r="C50" t="s">
        <v>56</v>
      </c>
    </row>
    <row r="52" spans="1:3" x14ac:dyDescent="0.2">
      <c r="A52" t="s">
        <v>57</v>
      </c>
      <c r="B52">
        <v>1</v>
      </c>
      <c r="C52" t="s">
        <v>58</v>
      </c>
    </row>
    <row r="53" spans="1:3" x14ac:dyDescent="0.2">
      <c r="A53" t="s">
        <v>59</v>
      </c>
      <c r="B53">
        <f>B52/2</f>
        <v>0.5</v>
      </c>
      <c r="C53" t="s">
        <v>20</v>
      </c>
    </row>
    <row r="54" spans="1:3" x14ac:dyDescent="0.2">
      <c r="A54" t="s">
        <v>60</v>
      </c>
      <c r="B54">
        <f>B34</f>
        <v>95639347882.995804</v>
      </c>
      <c r="C54" t="s">
        <v>41</v>
      </c>
    </row>
    <row r="55" spans="1:3" x14ac:dyDescent="0.2">
      <c r="A55" t="s">
        <v>61</v>
      </c>
      <c r="B55">
        <f>B35</f>
        <v>7160580659.6718397</v>
      </c>
      <c r="C55" t="s">
        <v>41</v>
      </c>
    </row>
    <row r="57" spans="1:3" x14ac:dyDescent="0.2">
      <c r="A57" t="s">
        <v>62</v>
      </c>
    </row>
    <row r="58" spans="1:3" x14ac:dyDescent="0.2">
      <c r="A58" s="2" t="s">
        <v>37</v>
      </c>
      <c r="B58" s="2" t="s">
        <v>2</v>
      </c>
      <c r="C58" s="2" t="s">
        <v>3</v>
      </c>
    </row>
    <row r="59" spans="1:3" x14ac:dyDescent="0.2">
      <c r="A59" t="s">
        <v>63</v>
      </c>
      <c r="B59">
        <f>2*SIN(ATAN((B49/1000)/(B48/1000)))/SQRT((B48/1000)^2+(B49/1000)^2)</f>
        <v>11.275238178480903</v>
      </c>
      <c r="C59" t="s">
        <v>64</v>
      </c>
    </row>
    <row r="60" spans="1:3" x14ac:dyDescent="0.2">
      <c r="A60" t="s">
        <v>65</v>
      </c>
      <c r="B60">
        <f>2*SIN(ATAN((B50/1000)/(B48/1000)))/SQRT((B48/1000)^2+(B50/1000)^2)</f>
        <v>10.83549398243102</v>
      </c>
      <c r="C60" t="s">
        <v>64</v>
      </c>
    </row>
    <row r="61" spans="1:3" x14ac:dyDescent="0.2">
      <c r="A61" t="s">
        <v>66</v>
      </c>
      <c r="B61">
        <f>B60-B59</f>
        <v>-0.43974419604988313</v>
      </c>
      <c r="C61" t="s">
        <v>64</v>
      </c>
    </row>
    <row r="62" spans="1:3" x14ac:dyDescent="0.2">
      <c r="A62" t="s">
        <v>67</v>
      </c>
      <c r="B62">
        <f>B53/1000</f>
        <v>5.0000000000000001E-4</v>
      </c>
    </row>
    <row r="63" spans="1:3" x14ac:dyDescent="0.2">
      <c r="A63" t="s">
        <v>68</v>
      </c>
      <c r="B63">
        <f>B53/1000</f>
        <v>5.0000000000000001E-4</v>
      </c>
    </row>
    <row r="64" spans="1:3" x14ac:dyDescent="0.2">
      <c r="A64" t="s">
        <v>69</v>
      </c>
      <c r="B64">
        <f>6*B54*B55*(B62+B63)*B62*B63</f>
        <v>1027249897131.9102</v>
      </c>
    </row>
    <row r="65" spans="1:3" x14ac:dyDescent="0.2">
      <c r="A65" t="s">
        <v>70</v>
      </c>
      <c r="B65">
        <f>B54^2*B62^4+4*B54*B55*B62^3*B63+6*B54*B55*B62^2*B63^2+4*B54*B55*B62*B63^3+B55^2*B63^4</f>
        <v>1174114030.3395534</v>
      </c>
    </row>
    <row r="66" spans="1:3" x14ac:dyDescent="0.2">
      <c r="A66" t="s">
        <v>71</v>
      </c>
      <c r="B66">
        <f>B64/B65</f>
        <v>874.91493209976363</v>
      </c>
    </row>
    <row r="67" spans="1:3" x14ac:dyDescent="0.2">
      <c r="A67" t="s">
        <v>72</v>
      </c>
      <c r="B67">
        <f>B61/B66</f>
        <v>-5.0261365981548996E-4</v>
      </c>
    </row>
    <row r="68" spans="1:3" x14ac:dyDescent="0.2">
      <c r="A68" t="s">
        <v>73</v>
      </c>
      <c r="B68">
        <f>B67/$B$12</f>
        <v>-2.2846075446158636E-6</v>
      </c>
      <c r="C68" t="s">
        <v>74</v>
      </c>
    </row>
    <row r="70" spans="1:3" ht="19" x14ac:dyDescent="0.25">
      <c r="A70" s="3" t="s">
        <v>75</v>
      </c>
    </row>
    <row r="71" spans="1:3" x14ac:dyDescent="0.2">
      <c r="A71" t="s">
        <v>76</v>
      </c>
      <c r="B71">
        <v>80</v>
      </c>
      <c r="C71" t="s">
        <v>77</v>
      </c>
    </row>
    <row r="73" spans="1:3" x14ac:dyDescent="0.2">
      <c r="A73" s="2" t="s">
        <v>78</v>
      </c>
      <c r="B73" s="2" t="s">
        <v>86</v>
      </c>
      <c r="C73" s="2" t="s">
        <v>87</v>
      </c>
    </row>
    <row r="74" spans="1:3" x14ac:dyDescent="0.2">
      <c r="A74" t="s">
        <v>79</v>
      </c>
      <c r="B74">
        <f>B40*$B$10+(1-B40)*$B$11</f>
        <v>0.28759181122894356</v>
      </c>
    </row>
    <row r="75" spans="1:3" x14ac:dyDescent="0.2">
      <c r="A75" t="s">
        <v>80</v>
      </c>
      <c r="B75">
        <f>(B71*(1-B40)*($B$7*1000000000)/1000000000+$B$8*B40*B41/1000000000)/(((1-B40)*($B$7*1000000000)+B40*B41)/1000000000)</f>
        <v>79.999996543323704</v>
      </c>
      <c r="C75" t="s">
        <v>10</v>
      </c>
    </row>
    <row r="76" spans="1:3" x14ac:dyDescent="0.2">
      <c r="A76" t="s">
        <v>81</v>
      </c>
      <c r="B76">
        <f>B71*(1-B40)*(1+$B$11)+$B$9*B40*(1+$B$10)-B75*B74</f>
        <v>32.78856171026807</v>
      </c>
      <c r="C76" t="s">
        <v>10</v>
      </c>
    </row>
    <row r="77" spans="1:3" x14ac:dyDescent="0.2">
      <c r="A77" t="s">
        <v>82</v>
      </c>
      <c r="B77">
        <f>B75-B76</f>
        <v>47.211434833055634</v>
      </c>
      <c r="C77" t="s">
        <v>10</v>
      </c>
    </row>
    <row r="78" spans="1:3" x14ac:dyDescent="0.2">
      <c r="A78" t="s">
        <v>83</v>
      </c>
      <c r="B78">
        <f>B77-B68*1000000</f>
        <v>49.4960423776715</v>
      </c>
      <c r="C78" t="s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P1 Composite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Fish</cp:lastModifiedBy>
  <dcterms:created xsi:type="dcterms:W3CDTF">2025-12-01T13:41:23Z</dcterms:created>
  <dcterms:modified xsi:type="dcterms:W3CDTF">2025-12-03T17:34:51Z</dcterms:modified>
</cp:coreProperties>
</file>